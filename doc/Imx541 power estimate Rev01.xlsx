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E88E5870-0F8E-42D4-8705-784D7BA23FB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 Power (Min)" sheetId="1" r:id="rId1"/>
    <sheet name="Total Power (Max)" sheetId="3" r:id="rId2"/>
    <sheet name="Sensor Pow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3" l="1"/>
  <c r="P6" i="3"/>
  <c r="P5" i="3"/>
  <c r="P4" i="3"/>
  <c r="C25" i="3"/>
  <c r="I26" i="3"/>
  <c r="H26" i="3"/>
  <c r="D26" i="3"/>
  <c r="E26" i="3"/>
  <c r="E25" i="3"/>
  <c r="E27" i="3" s="1"/>
  <c r="E29" i="3" l="1"/>
  <c r="E28" i="3"/>
  <c r="E30" i="3"/>
  <c r="D25" i="3"/>
  <c r="B25" i="3"/>
  <c r="B30" i="3" s="1"/>
  <c r="H25" i="3"/>
  <c r="I25" i="3"/>
  <c r="G25" i="3"/>
  <c r="D23" i="1"/>
  <c r="H27" i="3" l="1"/>
  <c r="H30" i="3"/>
  <c r="G27" i="3"/>
  <c r="G30" i="3"/>
  <c r="I27" i="3"/>
  <c r="I30" i="3"/>
  <c r="D27" i="3"/>
  <c r="D30" i="3"/>
  <c r="D30" i="1"/>
  <c r="B27" i="3"/>
  <c r="F23" i="1"/>
  <c r="B23" i="1"/>
  <c r="D29" i="3" l="1"/>
  <c r="D28" i="3"/>
  <c r="F25" i="3" s="1"/>
  <c r="I28" i="3"/>
  <c r="I29" i="3"/>
  <c r="G28" i="3"/>
  <c r="G29" i="3"/>
  <c r="H28" i="3"/>
  <c r="H29" i="3"/>
  <c r="B28" i="3"/>
  <c r="B29" i="3"/>
  <c r="F25" i="1"/>
  <c r="C23" i="1"/>
  <c r="D23" i="2"/>
  <c r="AJ26" i="2"/>
  <c r="AJ33" i="2"/>
  <c r="AJ32" i="2"/>
  <c r="AJ31" i="2"/>
  <c r="AJ30" i="2"/>
  <c r="AJ29" i="2"/>
  <c r="AJ28" i="2"/>
  <c r="AJ27" i="2"/>
  <c r="C27" i="3" l="1"/>
  <c r="C30" i="3"/>
  <c r="F27" i="3"/>
  <c r="F30" i="3"/>
  <c r="D35" i="2"/>
  <c r="D34" i="2"/>
  <c r="E24" i="2"/>
  <c r="E23" i="2"/>
  <c r="D24" i="2"/>
  <c r="F8" i="2"/>
  <c r="G8" i="2"/>
  <c r="F9" i="2"/>
  <c r="G9" i="2"/>
  <c r="G7" i="2"/>
  <c r="F7" i="2"/>
  <c r="C25" i="1"/>
  <c r="B25" i="1"/>
  <c r="B26" i="1" s="1"/>
  <c r="F28" i="3" l="1"/>
  <c r="F29" i="3"/>
  <c r="C29" i="3"/>
  <c r="C28" i="3"/>
  <c r="C26" i="1"/>
  <c r="E23" i="1" s="1"/>
  <c r="G24" i="2"/>
  <c r="B32" i="3" l="1"/>
  <c r="F23" i="2"/>
  <c r="E28" i="2"/>
  <c r="G23" i="2"/>
  <c r="F24" i="2"/>
  <c r="E29" i="2"/>
  <c r="G21" i="2"/>
  <c r="F21" i="2"/>
  <c r="D25" i="1"/>
  <c r="D26" i="1" l="1"/>
  <c r="F26" i="1"/>
  <c r="E25" i="1" l="1"/>
  <c r="B29" i="1" s="1"/>
</calcChain>
</file>

<file path=xl/sharedStrings.xml><?xml version="1.0" encoding="utf-8"?>
<sst xmlns="http://schemas.openxmlformats.org/spreadsheetml/2006/main" count="119" uniqueCount="74">
  <si>
    <t>FPGA VDD</t>
  </si>
  <si>
    <t>FPGA VDDA</t>
  </si>
  <si>
    <t>FPGA VDD18</t>
  </si>
  <si>
    <t>FPGA VDD25</t>
  </si>
  <si>
    <t>FPGA VDDI2 2.5V</t>
  </si>
  <si>
    <t>FPGA VDDI3 1.8V</t>
  </si>
  <si>
    <t>FPGA VDDAUX2 2.5V</t>
  </si>
  <si>
    <t>FPGA VDDA25</t>
  </si>
  <si>
    <t>FPGA VDDCLK25</t>
  </si>
  <si>
    <t>Name</t>
  </si>
  <si>
    <t>Voltage</t>
  </si>
  <si>
    <t>Typical (ma)</t>
  </si>
  <si>
    <t>Peak (ma)</t>
  </si>
  <si>
    <t>Digital supply</t>
  </si>
  <si>
    <t>Analog supply</t>
  </si>
  <si>
    <t>Total</t>
  </si>
  <si>
    <t>Typical 
Power (mW)</t>
  </si>
  <si>
    <t>Maximum 
Power (mW)</t>
  </si>
  <si>
    <t>Selector</t>
  </si>
  <si>
    <t>Analog Supply</t>
  </si>
  <si>
    <t xml:space="preserve">Digital Supply </t>
  </si>
  <si>
    <t>Max Current from Digital supply</t>
  </si>
  <si>
    <t>Max Current from Analog supply</t>
  </si>
  <si>
    <t>Total Current (mA)</t>
  </si>
  <si>
    <t>Efficiency (%)</t>
  </si>
  <si>
    <t>Total Power (mW)</t>
  </si>
  <si>
    <t>LTM8074</t>
  </si>
  <si>
    <t>Vin</t>
  </si>
  <si>
    <t>Sensor Digital</t>
  </si>
  <si>
    <t>Type</t>
  </si>
  <si>
    <t>DCDC</t>
  </si>
  <si>
    <t>Total (mW)</t>
  </si>
  <si>
    <t>Typical Current</t>
  </si>
  <si>
    <t>0505 12bit</t>
  </si>
  <si>
    <t>Current from source (mA)</t>
  </si>
  <si>
    <t>Rating (A)</t>
  </si>
  <si>
    <t>LTM4691</t>
  </si>
  <si>
    <t>VDDH</t>
  </si>
  <si>
    <t>VDDM</t>
  </si>
  <si>
    <t>VDDL</t>
  </si>
  <si>
    <t>Sensor</t>
  </si>
  <si>
    <t>Analog out</t>
  </si>
  <si>
    <t>SDI</t>
  </si>
  <si>
    <t>Regulator</t>
  </si>
  <si>
    <t>Linear</t>
  </si>
  <si>
    <t>FPGA AVDD</t>
  </si>
  <si>
    <t>Power on regulator</t>
  </si>
  <si>
    <t>Utilization</t>
  </si>
  <si>
    <t>Reference</t>
  </si>
  <si>
    <t>U22</t>
  </si>
  <si>
    <t>PN</t>
  </si>
  <si>
    <t>Part number</t>
  </si>
  <si>
    <t>Comment</t>
  </si>
  <si>
    <t>Disspipated Power (mW)</t>
  </si>
  <si>
    <t>Sensor Powers</t>
  </si>
  <si>
    <t>Power</t>
  </si>
  <si>
    <t xml:space="preserve">Voltage </t>
  </si>
  <si>
    <t>AVDD1</t>
  </si>
  <si>
    <t>AVDD2</t>
  </si>
  <si>
    <t>OVDD</t>
  </si>
  <si>
    <t>Analog</t>
  </si>
  <si>
    <t>Interface</t>
  </si>
  <si>
    <t>Digital</t>
  </si>
  <si>
    <t>DVDD</t>
  </si>
  <si>
    <t>Current Typ</t>
  </si>
  <si>
    <t>Current Max</t>
  </si>
  <si>
    <t>Sensor Analog 1</t>
  </si>
  <si>
    <t>Sensor Analog 2</t>
  </si>
  <si>
    <t>LTM4622</t>
  </si>
  <si>
    <t>U14</t>
  </si>
  <si>
    <t>U21</t>
  </si>
  <si>
    <t>LT3045</t>
  </si>
  <si>
    <t>U17</t>
  </si>
  <si>
    <t>FPGA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</si>
</sst>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2" borderId="1" xfId="0" applyFill="1" applyBorder="1"/>
    <xf numFmtId="0" fontId="0" fillId="0" borderId="10" xfId="0" applyBorder="1"/>
    <xf numFmtId="0" fontId="2" fillId="0" borderId="0" xfId="0" applyFont="1"/>
    <xf numFmtId="0" fontId="2" fillId="0" borderId="5" xfId="0" applyFont="1" applyBorder="1"/>
    <xf numFmtId="0" fontId="2" fillId="0" borderId="0" xfId="0" quotePrefix="1" applyFont="1"/>
    <xf numFmtId="0" fontId="3" fillId="0" borderId="0" xfId="0" applyFont="1"/>
    <xf numFmtId="0" fontId="0" fillId="3" borderId="1" xfId="0" applyFill="1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zoomScale="79" zoomScaleNormal="85" workbookViewId="0">
      <selection sqref="A1:F6"/>
    </sheetView>
  </sheetViews>
  <sheetFormatPr defaultRowHeight="15" x14ac:dyDescent="0.25"/>
  <cols>
    <col min="1" max="1" width="25.140625" customWidth="1"/>
    <col min="2" max="2" width="11.140625" customWidth="1"/>
    <col min="3" max="4" width="11" bestFit="1" customWidth="1"/>
    <col min="5" max="5" width="12" bestFit="1" customWidth="1"/>
    <col min="6" max="6" width="14.42578125" bestFit="1" customWidth="1"/>
    <col min="7" max="7" width="9.140625" customWidth="1"/>
    <col min="10" max="10" width="11.28515625" bestFit="1" customWidth="1"/>
  </cols>
  <sheetData>
    <row r="1" spans="1:6" x14ac:dyDescent="0.25">
      <c r="A1" s="2"/>
      <c r="B1" s="2"/>
      <c r="C1" s="2"/>
      <c r="D1" s="2"/>
      <c r="E1" s="2"/>
      <c r="F1" s="2" t="s">
        <v>28</v>
      </c>
    </row>
    <row r="2" spans="1:6" x14ac:dyDescent="0.25">
      <c r="A2" s="2"/>
      <c r="B2" t="s">
        <v>36</v>
      </c>
      <c r="C2" t="s">
        <v>36</v>
      </c>
      <c r="D2" s="2" t="s">
        <v>43</v>
      </c>
      <c r="E2" s="2" t="s">
        <v>26</v>
      </c>
      <c r="F2" s="2" t="s">
        <v>43</v>
      </c>
    </row>
    <row r="3" spans="1:6" x14ac:dyDescent="0.25">
      <c r="A3" s="2" t="s">
        <v>35</v>
      </c>
      <c r="B3" s="2">
        <v>2</v>
      </c>
      <c r="C3" s="2">
        <v>2</v>
      </c>
      <c r="D3" s="2">
        <v>0.5</v>
      </c>
      <c r="E3" s="2">
        <v>1</v>
      </c>
      <c r="F3" s="2">
        <v>0.5</v>
      </c>
    </row>
    <row r="4" spans="1:6" x14ac:dyDescent="0.25">
      <c r="A4" s="2" t="s">
        <v>27</v>
      </c>
      <c r="B4" s="2">
        <v>3.3</v>
      </c>
      <c r="C4" s="2">
        <v>3.3</v>
      </c>
      <c r="D4" s="2">
        <v>3.3</v>
      </c>
      <c r="E4" s="2">
        <v>12</v>
      </c>
      <c r="F4" s="2">
        <v>1.8</v>
      </c>
    </row>
    <row r="5" spans="1:6" x14ac:dyDescent="0.25">
      <c r="A5" s="2" t="s">
        <v>10</v>
      </c>
      <c r="B5" s="8">
        <v>1.05</v>
      </c>
      <c r="C5" s="2">
        <v>1.8</v>
      </c>
      <c r="D5" s="8">
        <v>2.5</v>
      </c>
      <c r="E5" s="8">
        <v>3.3</v>
      </c>
      <c r="F5" s="8">
        <v>1.2</v>
      </c>
    </row>
    <row r="6" spans="1:6" x14ac:dyDescent="0.25">
      <c r="A6" s="2" t="s">
        <v>29</v>
      </c>
      <c r="B6" s="8" t="s">
        <v>30</v>
      </c>
      <c r="C6" s="2" t="s">
        <v>30</v>
      </c>
      <c r="D6" s="8" t="s">
        <v>44</v>
      </c>
      <c r="E6" s="8"/>
      <c r="F6" s="8" t="s">
        <v>44</v>
      </c>
    </row>
    <row r="7" spans="1:6" x14ac:dyDescent="0.25">
      <c r="A7" s="2" t="s">
        <v>0</v>
      </c>
      <c r="B7" s="2">
        <v>467</v>
      </c>
      <c r="C7" s="2"/>
      <c r="D7" s="2"/>
      <c r="E7" s="2"/>
      <c r="F7" s="2"/>
    </row>
    <row r="8" spans="1:6" x14ac:dyDescent="0.25">
      <c r="A8" s="2" t="s">
        <v>1</v>
      </c>
      <c r="B8" s="2">
        <v>17</v>
      </c>
      <c r="C8" s="2"/>
      <c r="D8" s="2"/>
      <c r="E8" s="2"/>
      <c r="F8" s="2"/>
    </row>
    <row r="9" spans="1:6" x14ac:dyDescent="0.25">
      <c r="A9" s="2" t="s">
        <v>2</v>
      </c>
      <c r="B9" s="2"/>
      <c r="C9" s="2">
        <v>5</v>
      </c>
      <c r="D9" s="2"/>
      <c r="E9" s="2"/>
      <c r="F9" s="2"/>
    </row>
    <row r="10" spans="1:6" x14ac:dyDescent="0.25">
      <c r="A10" s="2" t="s">
        <v>3</v>
      </c>
      <c r="B10" s="2"/>
      <c r="C10" s="2"/>
      <c r="D10" s="2">
        <v>14</v>
      </c>
      <c r="E10" s="2"/>
      <c r="F10" s="2"/>
    </row>
    <row r="11" spans="1:6" x14ac:dyDescent="0.25">
      <c r="A11" s="2" t="s">
        <v>7</v>
      </c>
      <c r="B11" s="2"/>
      <c r="C11" s="2"/>
      <c r="D11" s="2">
        <v>4</v>
      </c>
      <c r="E11" s="2"/>
      <c r="F11" s="2"/>
    </row>
    <row r="12" spans="1:6" x14ac:dyDescent="0.25">
      <c r="A12" s="2" t="s">
        <v>8</v>
      </c>
      <c r="B12" s="2"/>
      <c r="C12" s="2"/>
      <c r="D12" s="2">
        <v>1</v>
      </c>
      <c r="E12" s="2"/>
      <c r="F12" s="2"/>
    </row>
    <row r="13" spans="1:6" x14ac:dyDescent="0.25">
      <c r="A13" s="2" t="s">
        <v>4</v>
      </c>
      <c r="B13" s="2"/>
      <c r="C13" s="2"/>
      <c r="D13" s="2">
        <v>0.8</v>
      </c>
      <c r="E13" s="2"/>
      <c r="F13" s="2"/>
    </row>
    <row r="14" spans="1:6" x14ac:dyDescent="0.25">
      <c r="A14" s="2" t="s">
        <v>5</v>
      </c>
      <c r="B14" s="2"/>
      <c r="C14" s="2"/>
      <c r="D14" s="2">
        <v>5</v>
      </c>
      <c r="E14" s="2"/>
      <c r="F14" s="2"/>
    </row>
    <row r="15" spans="1:6" x14ac:dyDescent="0.25">
      <c r="A15" s="2" t="s">
        <v>6</v>
      </c>
      <c r="B15" s="2"/>
      <c r="C15" s="2"/>
      <c r="D15" s="2">
        <v>11</v>
      </c>
      <c r="E15" s="2"/>
      <c r="F15" s="2"/>
    </row>
    <row r="16" spans="1:6" x14ac:dyDescent="0.25">
      <c r="A16" s="2" t="s">
        <v>42</v>
      </c>
      <c r="B16" s="2"/>
      <c r="C16" s="2"/>
      <c r="D16" s="2">
        <v>50</v>
      </c>
      <c r="E16" s="2"/>
      <c r="F16" s="2"/>
    </row>
    <row r="17" spans="1:6" x14ac:dyDescent="0.25">
      <c r="A17" s="2" t="s">
        <v>41</v>
      </c>
      <c r="B17" s="2"/>
      <c r="C17" s="2">
        <v>33</v>
      </c>
      <c r="D17" s="2"/>
      <c r="E17" s="2">
        <v>50</v>
      </c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 t="s">
        <v>40</v>
      </c>
      <c r="B19" s="2"/>
      <c r="C19" s="2">
        <v>16</v>
      </c>
      <c r="D19" s="2"/>
      <c r="E19" s="2">
        <v>54</v>
      </c>
      <c r="F19" s="2">
        <v>77</v>
      </c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 t="s">
        <v>23</v>
      </c>
      <c r="B23" s="2">
        <f>SUM(B7:B19)</f>
        <v>484</v>
      </c>
      <c r="C23" s="2">
        <f>SUM(C7:C19)+F23</f>
        <v>131</v>
      </c>
      <c r="D23" s="2">
        <f>SUM(D7:D19)</f>
        <v>85.8</v>
      </c>
      <c r="E23" s="2">
        <f>SUM(E7:E19)+D23+B26+C26</f>
        <v>457.19750445632803</v>
      </c>
      <c r="F23" s="2">
        <f>SUM(F7:F19)</f>
        <v>77</v>
      </c>
    </row>
    <row r="24" spans="1:6" x14ac:dyDescent="0.25">
      <c r="A24" s="2" t="s">
        <v>24</v>
      </c>
      <c r="B24" s="2">
        <v>84</v>
      </c>
      <c r="C24" s="2">
        <v>85</v>
      </c>
      <c r="D24" s="2">
        <v>100</v>
      </c>
      <c r="E24" s="2">
        <v>85</v>
      </c>
      <c r="F24" s="2">
        <v>100</v>
      </c>
    </row>
    <row r="25" spans="1:6" x14ac:dyDescent="0.25">
      <c r="A25" s="2" t="s">
        <v>25</v>
      </c>
      <c r="B25" s="2">
        <f>B5*B23/(B24/100)</f>
        <v>605.00000000000011</v>
      </c>
      <c r="C25" s="2">
        <f>C5*C23/(C24/100)</f>
        <v>277.41176470588238</v>
      </c>
      <c r="D25" s="2">
        <f>D5*D23/(D24/100)</f>
        <v>214.5</v>
      </c>
      <c r="E25" s="2">
        <f>E5*E23/(E24/100)</f>
        <v>1775.0020761245676</v>
      </c>
      <c r="F25" s="2">
        <f>F5*F23/(F24/100)</f>
        <v>92.399999999999991</v>
      </c>
    </row>
    <row r="26" spans="1:6" x14ac:dyDescent="0.25">
      <c r="A26" s="9" t="s">
        <v>34</v>
      </c>
      <c r="B26">
        <f>B25/B4</f>
        <v>183.33333333333337</v>
      </c>
      <c r="C26">
        <f>C25/C4</f>
        <v>84.064171122994665</v>
      </c>
      <c r="D26">
        <f>D25/D4</f>
        <v>65</v>
      </c>
      <c r="F26">
        <f>F25/F4</f>
        <v>51.333333333333329</v>
      </c>
    </row>
    <row r="29" spans="1:6" x14ac:dyDescent="0.25">
      <c r="A29" s="1" t="s">
        <v>31</v>
      </c>
      <c r="B29" s="1">
        <f>E25</f>
        <v>1775.0020761245676</v>
      </c>
    </row>
    <row r="30" spans="1:6" x14ac:dyDescent="0.25">
      <c r="D30">
        <f>D23*3.3</f>
        <v>283.14</v>
      </c>
    </row>
    <row r="33" spans="1:1" x14ac:dyDescent="0.25">
      <c r="A33" s="12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'Sensor Power'!$AJ$26:$AJ$33</xm:f>
          </x14:formula1>
          <xm:sqref>A33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906-B067-433C-B828-1C5B4E653F83}">
  <dimension ref="A1:R36"/>
  <sheetViews>
    <sheetView tabSelected="1" zoomScale="79" zoomScaleNormal="85" workbookViewId="0">
      <selection activeCell="N4" sqref="N4:P7"/>
    </sheetView>
  </sheetViews>
  <sheetFormatPr defaultRowHeight="15" x14ac:dyDescent="0.25"/>
  <cols>
    <col min="1" max="1" width="25.140625" customWidth="1"/>
    <col min="2" max="2" width="16.28515625" bestFit="1" customWidth="1"/>
    <col min="3" max="3" width="16.28515625" customWidth="1"/>
    <col min="4" max="4" width="19.7109375" bestFit="1" customWidth="1"/>
    <col min="5" max="5" width="16.28515625" bestFit="1" customWidth="1"/>
    <col min="6" max="6" width="14.42578125" bestFit="1" customWidth="1"/>
    <col min="7" max="7" width="19.7109375" bestFit="1" customWidth="1"/>
    <col min="8" max="9" width="17.140625" bestFit="1" customWidth="1"/>
    <col min="11" max="11" width="9.140625" customWidth="1"/>
    <col min="14" max="14" width="11.140625" bestFit="1" customWidth="1"/>
    <col min="15" max="15" width="19.7109375" bestFit="1" customWidth="1"/>
    <col min="16" max="16" width="26.140625" customWidth="1"/>
    <col min="17" max="17" width="12.140625" bestFit="1" customWidth="1"/>
  </cols>
  <sheetData>
    <row r="1" spans="1:17" x14ac:dyDescent="0.25">
      <c r="A1" s="2"/>
      <c r="B1" s="2" t="s">
        <v>73</v>
      </c>
      <c r="C1" s="2"/>
      <c r="D1" s="2" t="s">
        <v>45</v>
      </c>
      <c r="E1" s="2"/>
      <c r="F1" s="2"/>
      <c r="G1" s="2" t="s">
        <v>28</v>
      </c>
      <c r="H1" s="2" t="s">
        <v>66</v>
      </c>
      <c r="I1" s="2" t="s">
        <v>67</v>
      </c>
    </row>
    <row r="2" spans="1:17" x14ac:dyDescent="0.25">
      <c r="A2" s="2"/>
      <c r="D2" s="2"/>
      <c r="F2" s="2"/>
      <c r="G2" s="2"/>
      <c r="H2" s="2"/>
      <c r="I2" s="2"/>
    </row>
    <row r="3" spans="1:17" x14ac:dyDescent="0.25">
      <c r="A3" s="2" t="s">
        <v>48</v>
      </c>
      <c r="B3" s="16" t="s">
        <v>69</v>
      </c>
      <c r="C3" s="17"/>
      <c r="D3" s="2" t="s">
        <v>49</v>
      </c>
      <c r="E3" s="9" t="s">
        <v>72</v>
      </c>
      <c r="F3" s="20" t="s">
        <v>70</v>
      </c>
      <c r="G3" s="21"/>
      <c r="H3" s="2"/>
      <c r="I3" s="2"/>
      <c r="N3" s="2" t="s">
        <v>48</v>
      </c>
      <c r="O3" s="2" t="s">
        <v>51</v>
      </c>
      <c r="P3" s="2" t="s">
        <v>53</v>
      </c>
      <c r="Q3" s="2" t="s">
        <v>52</v>
      </c>
    </row>
    <row r="4" spans="1:17" x14ac:dyDescent="0.25">
      <c r="A4" s="2" t="s">
        <v>50</v>
      </c>
      <c r="B4" s="18" t="s">
        <v>68</v>
      </c>
      <c r="C4" s="19"/>
      <c r="D4" s="15" t="s">
        <v>71</v>
      </c>
      <c r="E4" s="15" t="s">
        <v>71</v>
      </c>
      <c r="F4" s="18" t="s">
        <v>68</v>
      </c>
      <c r="G4" s="19"/>
      <c r="H4" s="2"/>
      <c r="I4" s="2"/>
      <c r="N4" s="2" t="s">
        <v>69</v>
      </c>
      <c r="O4" s="2" t="s">
        <v>68</v>
      </c>
      <c r="P4" s="2">
        <f>B29+C29</f>
        <v>249.56190476190477</v>
      </c>
      <c r="Q4" s="2"/>
    </row>
    <row r="5" spans="1:17" x14ac:dyDescent="0.25">
      <c r="A5" s="2" t="s">
        <v>35</v>
      </c>
      <c r="B5" s="2">
        <v>2.5</v>
      </c>
      <c r="C5" s="2">
        <v>2.5</v>
      </c>
      <c r="D5" s="2">
        <v>0.5</v>
      </c>
      <c r="E5" s="2">
        <v>0.5</v>
      </c>
      <c r="F5" s="2">
        <v>2.5</v>
      </c>
      <c r="G5" s="2">
        <v>2.5</v>
      </c>
      <c r="H5" s="2">
        <v>0.5</v>
      </c>
      <c r="I5" s="2">
        <v>0.5</v>
      </c>
      <c r="N5" s="2" t="s">
        <v>49</v>
      </c>
      <c r="O5" s="2" t="s">
        <v>71</v>
      </c>
      <c r="P5" s="2">
        <f>D29</f>
        <v>82.5</v>
      </c>
      <c r="Q5" s="2"/>
    </row>
    <row r="6" spans="1:17" x14ac:dyDescent="0.25">
      <c r="A6" s="2" t="s">
        <v>27</v>
      </c>
      <c r="B6" s="2">
        <v>5</v>
      </c>
      <c r="C6" s="2">
        <v>5</v>
      </c>
      <c r="D6" s="2">
        <v>2.5</v>
      </c>
      <c r="E6" s="2">
        <v>5</v>
      </c>
      <c r="F6" s="2">
        <v>5</v>
      </c>
      <c r="G6" s="2">
        <v>5</v>
      </c>
      <c r="H6" s="2">
        <v>3.6</v>
      </c>
      <c r="I6" s="2">
        <v>3.6</v>
      </c>
      <c r="N6" s="2" t="s">
        <v>72</v>
      </c>
      <c r="O6" s="2" t="s">
        <v>71</v>
      </c>
      <c r="P6" s="2">
        <f>E29</f>
        <v>9.6000000000000014</v>
      </c>
      <c r="Q6" s="2"/>
    </row>
    <row r="7" spans="1:17" x14ac:dyDescent="0.25">
      <c r="A7" s="2" t="s">
        <v>10</v>
      </c>
      <c r="B7" s="8">
        <v>1</v>
      </c>
      <c r="C7" s="8">
        <v>3.6</v>
      </c>
      <c r="D7" s="8">
        <v>1</v>
      </c>
      <c r="E7" s="2">
        <v>1.8</v>
      </c>
      <c r="F7" s="8">
        <v>2.5</v>
      </c>
      <c r="G7" s="8">
        <v>1.1000000000000001</v>
      </c>
      <c r="H7" s="8">
        <v>3.3</v>
      </c>
      <c r="I7" s="8">
        <v>2.9</v>
      </c>
      <c r="N7" s="2" t="s">
        <v>70</v>
      </c>
      <c r="O7" s="2" t="s">
        <v>68</v>
      </c>
      <c r="P7" s="2">
        <f>F29+G29</f>
        <v>135.48627450980393</v>
      </c>
      <c r="Q7" s="2"/>
    </row>
    <row r="8" spans="1:17" x14ac:dyDescent="0.25">
      <c r="A8" s="2" t="s">
        <v>29</v>
      </c>
      <c r="B8" s="8" t="s">
        <v>30</v>
      </c>
      <c r="C8" s="8"/>
      <c r="D8" s="8" t="s">
        <v>44</v>
      </c>
      <c r="E8" s="8" t="s">
        <v>44</v>
      </c>
      <c r="F8" s="8" t="s">
        <v>44</v>
      </c>
      <c r="G8" s="8" t="s">
        <v>44</v>
      </c>
      <c r="H8" s="8" t="s">
        <v>44</v>
      </c>
      <c r="I8" s="8" t="s">
        <v>44</v>
      </c>
      <c r="N8" s="2"/>
      <c r="O8" s="2"/>
      <c r="P8" s="2"/>
      <c r="Q8" s="2"/>
    </row>
    <row r="9" spans="1:17" x14ac:dyDescent="0.25">
      <c r="A9" s="2" t="s">
        <v>0</v>
      </c>
      <c r="B9" s="2">
        <v>865</v>
      </c>
      <c r="C9" s="2"/>
      <c r="D9" s="2"/>
      <c r="E9" s="2"/>
      <c r="F9" s="2"/>
      <c r="G9" s="2"/>
      <c r="H9" s="2"/>
      <c r="I9" s="2"/>
      <c r="N9" s="2"/>
      <c r="O9" s="2"/>
      <c r="P9" s="2"/>
      <c r="Q9" s="2"/>
    </row>
    <row r="10" spans="1:17" x14ac:dyDescent="0.25">
      <c r="A10" s="2" t="s">
        <v>1</v>
      </c>
      <c r="B10" s="2"/>
      <c r="C10" s="2"/>
      <c r="D10" s="2">
        <v>55</v>
      </c>
      <c r="E10" s="2"/>
      <c r="F10" s="2"/>
      <c r="G10" s="2"/>
      <c r="H10" s="2"/>
      <c r="I10" s="2"/>
      <c r="N10" s="2"/>
      <c r="O10" s="2"/>
      <c r="P10" s="2"/>
      <c r="Q10" s="2"/>
    </row>
    <row r="11" spans="1:17" x14ac:dyDescent="0.25">
      <c r="A11" s="2" t="s">
        <v>2</v>
      </c>
      <c r="B11" s="2"/>
      <c r="C11" s="2"/>
      <c r="D11" s="2"/>
      <c r="E11" s="2">
        <v>1</v>
      </c>
      <c r="F11" s="2"/>
      <c r="G11" s="2"/>
      <c r="H11" s="2"/>
      <c r="I11" s="2"/>
    </row>
    <row r="12" spans="1:17" x14ac:dyDescent="0.25">
      <c r="A12" s="2" t="s">
        <v>3</v>
      </c>
      <c r="B12" s="2"/>
      <c r="C12" s="2"/>
      <c r="D12" s="2"/>
      <c r="E12" s="2"/>
      <c r="F12" s="2">
        <v>12</v>
      </c>
      <c r="G12" s="2"/>
      <c r="H12" s="2"/>
      <c r="I12" s="2"/>
    </row>
    <row r="13" spans="1:17" x14ac:dyDescent="0.25">
      <c r="A13" s="2" t="s">
        <v>7</v>
      </c>
      <c r="B13" s="2"/>
      <c r="C13" s="2"/>
      <c r="D13" s="2"/>
      <c r="E13" s="2"/>
      <c r="F13" s="2">
        <v>26</v>
      </c>
      <c r="G13" s="2"/>
      <c r="H13" s="2"/>
      <c r="I13" s="2"/>
    </row>
    <row r="14" spans="1:17" x14ac:dyDescent="0.25">
      <c r="A14" s="2" t="s">
        <v>8</v>
      </c>
      <c r="B14" s="2"/>
      <c r="C14" s="2"/>
      <c r="D14" s="2"/>
      <c r="E14" s="2"/>
      <c r="F14" s="2">
        <v>1</v>
      </c>
      <c r="G14" s="2"/>
      <c r="H14" s="2"/>
      <c r="I14" s="2"/>
    </row>
    <row r="15" spans="1:17" x14ac:dyDescent="0.25">
      <c r="A15" s="2" t="s">
        <v>4</v>
      </c>
      <c r="B15" s="2"/>
      <c r="C15" s="2"/>
      <c r="D15" s="2"/>
      <c r="E15" s="2"/>
      <c r="F15" s="2">
        <v>1</v>
      </c>
      <c r="G15" s="2"/>
      <c r="H15" s="2"/>
      <c r="I15" s="2"/>
      <c r="N15" t="s">
        <v>54</v>
      </c>
    </row>
    <row r="16" spans="1:17" x14ac:dyDescent="0.25">
      <c r="A16" s="2" t="s">
        <v>5</v>
      </c>
      <c r="B16" s="2"/>
      <c r="C16" s="2"/>
      <c r="D16" s="2"/>
      <c r="E16" s="2">
        <v>1</v>
      </c>
      <c r="F16" s="2"/>
      <c r="G16" s="2"/>
      <c r="H16" s="2"/>
      <c r="I16" s="2"/>
    </row>
    <row r="17" spans="1:18" x14ac:dyDescent="0.25">
      <c r="A17" s="2" t="s">
        <v>6</v>
      </c>
      <c r="B17" s="2"/>
      <c r="C17" s="2"/>
      <c r="D17" s="2"/>
      <c r="E17" s="2"/>
      <c r="F17" s="2">
        <v>1</v>
      </c>
      <c r="G17" s="2"/>
      <c r="H17" s="2"/>
      <c r="I17" s="2"/>
      <c r="N17" t="s">
        <v>55</v>
      </c>
      <c r="O17" t="s">
        <v>56</v>
      </c>
      <c r="P17" t="s">
        <v>64</v>
      </c>
      <c r="Q17" t="s">
        <v>65</v>
      </c>
    </row>
    <row r="18" spans="1:18" x14ac:dyDescent="0.25">
      <c r="A18" s="2"/>
      <c r="B18" s="2"/>
      <c r="C18" s="2"/>
      <c r="D18" s="2"/>
      <c r="E18" s="2"/>
      <c r="F18" s="2"/>
      <c r="G18" s="2"/>
      <c r="H18" s="2"/>
      <c r="I18" s="2"/>
      <c r="N18" t="s">
        <v>57</v>
      </c>
      <c r="O18">
        <v>3.3</v>
      </c>
      <c r="P18">
        <v>71</v>
      </c>
      <c r="Q18">
        <v>85</v>
      </c>
      <c r="R18" t="s">
        <v>60</v>
      </c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N19" t="s">
        <v>58</v>
      </c>
      <c r="O19">
        <v>2.9</v>
      </c>
      <c r="P19">
        <v>141</v>
      </c>
      <c r="Q19">
        <v>205</v>
      </c>
      <c r="R19" t="s">
        <v>60</v>
      </c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N20" t="s">
        <v>59</v>
      </c>
      <c r="O20">
        <v>1.8</v>
      </c>
      <c r="P20">
        <v>1</v>
      </c>
      <c r="Q20">
        <v>2</v>
      </c>
      <c r="R20" t="s">
        <v>61</v>
      </c>
    </row>
    <row r="21" spans="1:18" x14ac:dyDescent="0.25">
      <c r="A21" s="2" t="s">
        <v>40</v>
      </c>
      <c r="B21" s="2"/>
      <c r="C21" s="2"/>
      <c r="D21" s="2"/>
      <c r="E21" s="2">
        <v>1</v>
      </c>
      <c r="F21" s="2"/>
      <c r="G21" s="2">
        <v>254</v>
      </c>
      <c r="H21" s="2">
        <v>71</v>
      </c>
      <c r="I21" s="2">
        <v>141</v>
      </c>
      <c r="N21" t="s">
        <v>63</v>
      </c>
      <c r="O21">
        <v>1.1000000000000001</v>
      </c>
      <c r="P21">
        <v>254</v>
      </c>
      <c r="Q21">
        <v>480</v>
      </c>
      <c r="R21" t="s">
        <v>62</v>
      </c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18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18" x14ac:dyDescent="0.25">
      <c r="A25" s="2" t="s">
        <v>23</v>
      </c>
      <c r="B25" s="2">
        <f>SUM(B9:B22)</f>
        <v>865</v>
      </c>
      <c r="C25" s="2">
        <f>H28+I28</f>
        <v>212</v>
      </c>
      <c r="D25" s="2">
        <f>SUM(D9:D22)</f>
        <v>55</v>
      </c>
      <c r="E25" s="2">
        <f>SUM(E9:E22)</f>
        <v>3</v>
      </c>
      <c r="F25" s="2">
        <f>SUM(F9:F21)+D28</f>
        <v>96</v>
      </c>
      <c r="G25" s="2">
        <f>SUM(G9:G23)</f>
        <v>254</v>
      </c>
      <c r="H25" s="2">
        <f t="shared" ref="H25:I25" si="0">SUM(H9:H23)</f>
        <v>71</v>
      </c>
      <c r="I25" s="2">
        <f t="shared" si="0"/>
        <v>141</v>
      </c>
    </row>
    <row r="26" spans="1:18" x14ac:dyDescent="0.25">
      <c r="A26" s="2" t="s">
        <v>24</v>
      </c>
      <c r="B26" s="2">
        <v>84</v>
      </c>
      <c r="C26" s="2">
        <v>90</v>
      </c>
      <c r="D26" s="2">
        <f>100*D7/D6</f>
        <v>40</v>
      </c>
      <c r="E26" s="2">
        <f t="shared" ref="E26" si="1">100*E7/E6</f>
        <v>36</v>
      </c>
      <c r="F26" s="2">
        <v>85</v>
      </c>
      <c r="G26" s="2">
        <v>75</v>
      </c>
      <c r="H26" s="2">
        <f>100*H7/H6</f>
        <v>91.666666666666671</v>
      </c>
      <c r="I26" s="2">
        <f>100*I7/I6</f>
        <v>80.555555555555557</v>
      </c>
    </row>
    <row r="27" spans="1:18" x14ac:dyDescent="0.25">
      <c r="A27" s="2" t="s">
        <v>25</v>
      </c>
      <c r="B27" s="2">
        <f>B7*B25/(B26/100)</f>
        <v>1029.7619047619048</v>
      </c>
      <c r="C27" s="2">
        <f t="shared" ref="C27:I27" si="2">C7*C25/(C26/100)</f>
        <v>848</v>
      </c>
      <c r="D27" s="2">
        <f t="shared" si="2"/>
        <v>137.5</v>
      </c>
      <c r="E27" s="2">
        <f t="shared" si="2"/>
        <v>15.000000000000002</v>
      </c>
      <c r="F27" s="2">
        <f t="shared" si="2"/>
        <v>282.35294117647061</v>
      </c>
      <c r="G27" s="2">
        <f t="shared" si="2"/>
        <v>372.53333333333336</v>
      </c>
      <c r="H27" s="2">
        <f t="shared" si="2"/>
        <v>255.59999999999997</v>
      </c>
      <c r="I27" s="2">
        <f t="shared" si="2"/>
        <v>507.59999999999997</v>
      </c>
    </row>
    <row r="28" spans="1:18" x14ac:dyDescent="0.25">
      <c r="A28" s="2" t="s">
        <v>34</v>
      </c>
      <c r="B28" s="2">
        <f>B27/B6</f>
        <v>205.95238095238096</v>
      </c>
      <c r="C28" s="2">
        <f t="shared" ref="C28:I28" si="3">C27/C6</f>
        <v>169.6</v>
      </c>
      <c r="D28" s="2">
        <f t="shared" si="3"/>
        <v>55</v>
      </c>
      <c r="E28" s="2">
        <f t="shared" si="3"/>
        <v>3.0000000000000004</v>
      </c>
      <c r="F28" s="2">
        <f t="shared" si="3"/>
        <v>56.470588235294123</v>
      </c>
      <c r="G28" s="2">
        <f t="shared" si="3"/>
        <v>74.506666666666675</v>
      </c>
      <c r="H28" s="2">
        <f t="shared" si="3"/>
        <v>70.999999999999986</v>
      </c>
      <c r="I28" s="2">
        <f t="shared" si="3"/>
        <v>141</v>
      </c>
    </row>
    <row r="29" spans="1:18" x14ac:dyDescent="0.25">
      <c r="A29" s="2" t="s">
        <v>46</v>
      </c>
      <c r="B29" s="14">
        <f>B27-B25*B7</f>
        <v>164.76190476190482</v>
      </c>
      <c r="C29" s="14">
        <f t="shared" ref="C29:I29" si="4">C27-C25*C7</f>
        <v>84.799999999999955</v>
      </c>
      <c r="D29" s="14">
        <f t="shared" si="4"/>
        <v>82.5</v>
      </c>
      <c r="E29" s="14">
        <f t="shared" si="4"/>
        <v>9.6000000000000014</v>
      </c>
      <c r="F29" s="14">
        <f t="shared" si="4"/>
        <v>42.352941176470608</v>
      </c>
      <c r="G29" s="14">
        <f t="shared" si="4"/>
        <v>93.133333333333326</v>
      </c>
      <c r="H29" s="14">
        <f t="shared" si="4"/>
        <v>21.299999999999983</v>
      </c>
      <c r="I29" s="14">
        <f t="shared" si="4"/>
        <v>98.699999999999989</v>
      </c>
    </row>
    <row r="30" spans="1:18" x14ac:dyDescent="0.25">
      <c r="A30" s="2" t="s">
        <v>47</v>
      </c>
      <c r="B30" s="2">
        <f>ROUND(B25*100/(B5*1000),0)</f>
        <v>35</v>
      </c>
      <c r="C30" s="2">
        <f t="shared" ref="C30:I30" si="5">ROUND(C25*100/(C5*1000),0)</f>
        <v>8</v>
      </c>
      <c r="D30" s="2">
        <f t="shared" si="5"/>
        <v>11</v>
      </c>
      <c r="E30" s="2">
        <f t="shared" si="5"/>
        <v>1</v>
      </c>
      <c r="F30" s="2">
        <f t="shared" si="5"/>
        <v>4</v>
      </c>
      <c r="G30" s="2">
        <f t="shared" si="5"/>
        <v>10</v>
      </c>
      <c r="H30" s="2">
        <f t="shared" si="5"/>
        <v>14</v>
      </c>
      <c r="I30" s="2">
        <f t="shared" si="5"/>
        <v>28</v>
      </c>
    </row>
    <row r="32" spans="1:18" x14ac:dyDescent="0.25">
      <c r="A32" s="1" t="s">
        <v>31</v>
      </c>
      <c r="B32" s="1">
        <f>(B28+C28+E28+F28+G28)*5</f>
        <v>2547.6481792717091</v>
      </c>
      <c r="C32" s="1"/>
      <c r="D32" s="1"/>
    </row>
    <row r="36" spans="1:1" x14ac:dyDescent="0.25">
      <c r="A36" s="12"/>
    </row>
  </sheetData>
  <mergeCells count="4">
    <mergeCell ref="B3:C3"/>
    <mergeCell ref="B4:C4"/>
    <mergeCell ref="F4:G4"/>
    <mergeCell ref="F3:G3"/>
  </mergeCell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93FCBC-7F95-4BEA-8C76-E85D81CC76EA}">
          <x14:formula1>
            <xm:f>'Sensor Power'!$AJ$26:$AJ$33</xm:f>
          </x14:formula1>
          <xm:sqref>A36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AJ35"/>
  <sheetViews>
    <sheetView topLeftCell="A4" workbookViewId="0">
      <selection activeCell="G27" sqref="G27"/>
    </sheetView>
  </sheetViews>
  <sheetFormatPr defaultRowHeight="15" x14ac:dyDescent="0.25"/>
  <cols>
    <col min="2" max="2" width="16.28515625" bestFit="1" customWidth="1"/>
    <col min="4" max="4" width="11.7109375" bestFit="1" customWidth="1"/>
    <col min="5" max="5" width="9.85546875" bestFit="1" customWidth="1"/>
    <col min="6" max="7" width="12.140625" bestFit="1" customWidth="1"/>
    <col min="8" max="8" width="11.7109375" bestFit="1" customWidth="1"/>
    <col min="9" max="9" width="9.85546875" bestFit="1" customWidth="1"/>
    <col min="10" max="11" width="12.140625" bestFit="1" customWidth="1"/>
    <col min="12" max="12" width="11.7109375" bestFit="1" customWidth="1"/>
    <col min="13" max="13" width="9.85546875" bestFit="1" customWidth="1"/>
    <col min="14" max="15" width="12.140625" bestFit="1" customWidth="1"/>
    <col min="16" max="16" width="11.7109375" bestFit="1" customWidth="1"/>
    <col min="17" max="17" width="9.85546875" bestFit="1" customWidth="1"/>
    <col min="18" max="19" width="12.140625" bestFit="1" customWidth="1"/>
    <col min="20" max="20" width="11.7109375" bestFit="1" customWidth="1"/>
    <col min="21" max="21" width="9.85546875" bestFit="1" customWidth="1"/>
    <col min="22" max="22" width="12.5703125" bestFit="1" customWidth="1"/>
    <col min="23" max="23" width="12.140625" bestFit="1" customWidth="1"/>
  </cols>
  <sheetData>
    <row r="4" spans="2:35" ht="15.75" thickBot="1" x14ac:dyDescent="0.3"/>
    <row r="5" spans="2:35" x14ac:dyDescent="0.25">
      <c r="B5" s="4"/>
      <c r="C5" s="4"/>
      <c r="D5" s="22" t="s">
        <v>33</v>
      </c>
      <c r="E5" s="23"/>
      <c r="F5" s="23"/>
      <c r="G5" s="24"/>
      <c r="H5" s="25"/>
      <c r="I5" s="25"/>
      <c r="J5" s="25"/>
      <c r="K5" s="26"/>
      <c r="L5" s="25"/>
      <c r="M5" s="25"/>
      <c r="N5" s="25"/>
      <c r="O5" s="26"/>
      <c r="P5" s="25"/>
      <c r="Q5" s="25"/>
      <c r="R5" s="25"/>
      <c r="S5" s="26"/>
      <c r="T5" s="25"/>
      <c r="U5" s="25"/>
      <c r="V5" s="25"/>
      <c r="W5" s="26"/>
      <c r="X5" s="25"/>
      <c r="Y5" s="25"/>
      <c r="Z5" s="25"/>
      <c r="AA5" s="26"/>
      <c r="AB5" s="25"/>
      <c r="AC5" s="25"/>
      <c r="AD5" s="25"/>
      <c r="AE5" s="26"/>
      <c r="AF5" s="25"/>
      <c r="AG5" s="25"/>
      <c r="AH5" s="25"/>
      <c r="AI5" s="26"/>
    </row>
    <row r="6" spans="2:35" ht="30" x14ac:dyDescent="0.25">
      <c r="B6" s="4" t="s">
        <v>9</v>
      </c>
      <c r="C6" s="4" t="s">
        <v>10</v>
      </c>
      <c r="D6" s="5" t="s">
        <v>11</v>
      </c>
      <c r="E6" s="2" t="s">
        <v>12</v>
      </c>
      <c r="F6" s="3" t="s">
        <v>16</v>
      </c>
      <c r="G6" s="6" t="s">
        <v>17</v>
      </c>
      <c r="H6" s="2"/>
      <c r="I6" s="2"/>
      <c r="J6" s="3"/>
      <c r="K6" s="6"/>
      <c r="L6" s="2"/>
      <c r="M6" s="2"/>
      <c r="N6" s="3"/>
      <c r="O6" s="6"/>
      <c r="P6" s="2"/>
      <c r="Q6" s="2"/>
      <c r="R6" s="3"/>
      <c r="S6" s="6"/>
      <c r="T6" s="2"/>
      <c r="U6" s="2"/>
      <c r="V6" s="3"/>
      <c r="W6" s="6"/>
      <c r="X6" s="2"/>
      <c r="Y6" s="2"/>
      <c r="Z6" s="3"/>
      <c r="AA6" s="6"/>
      <c r="AB6" s="2"/>
      <c r="AC6" s="2"/>
      <c r="AD6" s="3"/>
      <c r="AE6" s="6"/>
      <c r="AF6" s="2"/>
      <c r="AG6" s="2"/>
      <c r="AH6" s="3"/>
      <c r="AI6" s="6"/>
    </row>
    <row r="7" spans="2:35" x14ac:dyDescent="0.25">
      <c r="B7" s="4" t="s">
        <v>37</v>
      </c>
      <c r="C7" s="4">
        <v>2.9</v>
      </c>
      <c r="D7" s="5">
        <v>54</v>
      </c>
      <c r="E7" s="2">
        <v>99</v>
      </c>
      <c r="F7" s="2">
        <f t="shared" ref="F7:G9" si="0">$C7*D7</f>
        <v>156.6</v>
      </c>
      <c r="G7" s="7">
        <f t="shared" si="0"/>
        <v>287.09999999999997</v>
      </c>
      <c r="H7" s="2"/>
      <c r="I7" s="2"/>
      <c r="J7" s="2"/>
      <c r="K7" s="7"/>
      <c r="L7" s="2"/>
      <c r="M7" s="2"/>
      <c r="N7" s="2"/>
      <c r="O7" s="7"/>
      <c r="P7" s="2"/>
      <c r="Q7" s="2"/>
      <c r="R7" s="2"/>
      <c r="S7" s="7"/>
      <c r="T7" s="2"/>
      <c r="U7" s="2"/>
      <c r="V7" s="2"/>
      <c r="W7" s="7"/>
      <c r="X7" s="2"/>
      <c r="Y7" s="2"/>
      <c r="Z7" s="2"/>
      <c r="AA7" s="7"/>
      <c r="AB7" s="2"/>
      <c r="AC7" s="2"/>
      <c r="AD7" s="2"/>
      <c r="AE7" s="7"/>
      <c r="AF7" s="2"/>
      <c r="AG7" s="2"/>
      <c r="AH7" s="2"/>
      <c r="AI7" s="7"/>
    </row>
    <row r="8" spans="2:35" x14ac:dyDescent="0.25">
      <c r="B8" s="4" t="s">
        <v>38</v>
      </c>
      <c r="C8" s="4">
        <v>1.8</v>
      </c>
      <c r="D8" s="5">
        <v>16</v>
      </c>
      <c r="E8" s="2">
        <v>25</v>
      </c>
      <c r="F8" s="2">
        <f t="shared" si="0"/>
        <v>28.8</v>
      </c>
      <c r="G8" s="7">
        <f t="shared" si="0"/>
        <v>45</v>
      </c>
      <c r="H8" s="2"/>
      <c r="I8" s="2"/>
      <c r="J8" s="2"/>
      <c r="K8" s="7"/>
      <c r="L8" s="2"/>
      <c r="M8" s="2"/>
      <c r="N8" s="2"/>
      <c r="O8" s="7"/>
      <c r="P8" s="2"/>
      <c r="Q8" s="2"/>
      <c r="R8" s="2"/>
      <c r="S8" s="7"/>
      <c r="T8" s="2"/>
      <c r="U8" s="2"/>
      <c r="V8" s="2"/>
      <c r="W8" s="7"/>
      <c r="X8" s="2"/>
      <c r="Y8" s="2"/>
      <c r="Z8" s="2"/>
      <c r="AA8" s="7"/>
      <c r="AB8" s="2"/>
      <c r="AC8" s="2"/>
      <c r="AD8" s="2"/>
      <c r="AE8" s="7"/>
      <c r="AF8" s="2"/>
      <c r="AG8" s="2"/>
      <c r="AH8" s="2"/>
      <c r="AI8" s="7"/>
    </row>
    <row r="9" spans="2:35" x14ac:dyDescent="0.25">
      <c r="B9" s="4" t="s">
        <v>39</v>
      </c>
      <c r="C9" s="4">
        <v>1.2</v>
      </c>
      <c r="D9" s="5">
        <v>77</v>
      </c>
      <c r="E9" s="2">
        <v>142</v>
      </c>
      <c r="F9" s="2">
        <f t="shared" si="0"/>
        <v>92.399999999999991</v>
      </c>
      <c r="G9" s="7">
        <f t="shared" si="0"/>
        <v>170.4</v>
      </c>
      <c r="H9" s="2"/>
      <c r="I9" s="2"/>
      <c r="J9" s="2"/>
      <c r="K9" s="7"/>
      <c r="M9" s="2"/>
      <c r="N9" s="2"/>
      <c r="O9" s="7"/>
      <c r="P9" s="2"/>
      <c r="Q9" s="2"/>
      <c r="R9" s="2"/>
      <c r="S9" s="7"/>
      <c r="T9" s="2"/>
      <c r="U9" s="2"/>
      <c r="V9" s="2"/>
      <c r="W9" s="7"/>
      <c r="X9" s="2"/>
      <c r="Y9" s="2"/>
      <c r="Z9" s="2"/>
      <c r="AA9" s="7"/>
      <c r="AB9" s="2"/>
      <c r="AC9" s="2"/>
      <c r="AD9" s="2"/>
      <c r="AE9" s="7"/>
      <c r="AF9" s="2"/>
      <c r="AG9" s="2"/>
      <c r="AH9" s="2"/>
      <c r="AI9" s="7"/>
    </row>
    <row r="10" spans="2:35" x14ac:dyDescent="0.25">
      <c r="B10" s="4"/>
      <c r="C10" s="4"/>
      <c r="D10" s="5"/>
      <c r="E10" s="2"/>
      <c r="F10" s="2"/>
      <c r="G10" s="7"/>
      <c r="H10" s="2"/>
      <c r="I10" s="2"/>
      <c r="J10" s="2"/>
      <c r="K10" s="7"/>
      <c r="L10" s="2"/>
      <c r="M10" s="2"/>
      <c r="N10" s="2"/>
      <c r="O10" s="7"/>
      <c r="P10" s="2"/>
      <c r="Q10" s="2"/>
      <c r="R10" s="2"/>
      <c r="S10" s="7"/>
      <c r="T10" s="2"/>
      <c r="U10" s="2"/>
      <c r="V10" s="2"/>
      <c r="W10" s="7"/>
      <c r="X10" s="2"/>
      <c r="Y10" s="2"/>
      <c r="Z10" s="2"/>
      <c r="AA10" s="7"/>
      <c r="AB10" s="2"/>
      <c r="AC10" s="2"/>
      <c r="AD10" s="2"/>
      <c r="AE10" s="7"/>
      <c r="AF10" s="2"/>
      <c r="AG10" s="2"/>
      <c r="AH10" s="2"/>
      <c r="AI10" s="7"/>
    </row>
    <row r="11" spans="2:35" x14ac:dyDescent="0.25">
      <c r="B11" s="4"/>
      <c r="C11" s="4"/>
      <c r="D11" s="5"/>
      <c r="E11" s="2"/>
      <c r="F11" s="2"/>
      <c r="G11" s="7"/>
      <c r="H11" s="2"/>
      <c r="I11" s="2"/>
      <c r="J11" s="2"/>
      <c r="K11" s="7"/>
      <c r="L11" s="9"/>
      <c r="M11" s="2"/>
      <c r="N11" s="2"/>
      <c r="O11" s="7"/>
      <c r="P11" s="2"/>
      <c r="Q11" s="2"/>
      <c r="R11" s="2"/>
      <c r="S11" s="7"/>
      <c r="T11" s="2"/>
      <c r="U11" s="2"/>
      <c r="V11" s="2"/>
      <c r="W11" s="7"/>
      <c r="X11" s="2"/>
      <c r="Y11" s="2"/>
      <c r="Z11" s="2"/>
      <c r="AA11" s="7"/>
      <c r="AB11" s="2"/>
      <c r="AC11" s="2"/>
      <c r="AD11" s="2"/>
      <c r="AE11" s="7"/>
      <c r="AF11" s="2"/>
      <c r="AG11" s="2"/>
      <c r="AH11" s="2"/>
      <c r="AI11" s="7"/>
    </row>
    <row r="12" spans="2:35" x14ac:dyDescent="0.25">
      <c r="B12" s="4"/>
      <c r="C12" s="4"/>
      <c r="D12" s="5"/>
      <c r="E12" s="2"/>
      <c r="F12" s="2"/>
      <c r="G12" s="7"/>
      <c r="H12" s="2"/>
      <c r="I12" s="2"/>
      <c r="J12" s="2"/>
      <c r="K12" s="7"/>
      <c r="L12" s="2"/>
      <c r="M12" s="2"/>
      <c r="N12" s="2"/>
      <c r="O12" s="7"/>
      <c r="P12" s="2"/>
      <c r="Q12" s="2"/>
      <c r="R12" s="2"/>
      <c r="S12" s="7"/>
      <c r="T12" s="2"/>
      <c r="U12" s="2"/>
      <c r="V12" s="2"/>
      <c r="W12" s="7"/>
      <c r="X12" s="2"/>
      <c r="Y12" s="2"/>
      <c r="Z12" s="2"/>
      <c r="AA12" s="7"/>
      <c r="AB12" s="2"/>
      <c r="AC12" s="2"/>
      <c r="AD12" s="2"/>
      <c r="AE12" s="7"/>
      <c r="AF12" s="2"/>
      <c r="AG12" s="2"/>
      <c r="AH12" s="2"/>
      <c r="AI12" s="7"/>
    </row>
    <row r="13" spans="2:35" x14ac:dyDescent="0.25">
      <c r="B13" s="4"/>
      <c r="C13" s="4"/>
      <c r="D13" s="5"/>
      <c r="E13" s="2"/>
      <c r="F13" s="2"/>
      <c r="G13" s="7"/>
      <c r="H13" s="2"/>
      <c r="I13" s="2"/>
      <c r="J13" s="2"/>
      <c r="K13" s="7"/>
      <c r="L13" s="2"/>
      <c r="M13" s="2"/>
      <c r="N13" s="2"/>
      <c r="O13" s="7"/>
      <c r="P13" s="2"/>
      <c r="Q13" s="2"/>
      <c r="R13" s="2"/>
      <c r="S13" s="7"/>
      <c r="T13" s="2"/>
      <c r="U13" s="2"/>
      <c r="V13" s="2"/>
      <c r="W13" s="7"/>
      <c r="X13" s="2"/>
      <c r="Y13" s="2"/>
      <c r="Z13" s="2"/>
      <c r="AA13" s="7"/>
      <c r="AB13" s="2"/>
      <c r="AC13" s="2"/>
      <c r="AD13" s="2"/>
      <c r="AE13" s="7"/>
      <c r="AF13" s="2"/>
      <c r="AG13" s="2"/>
      <c r="AH13" s="2"/>
      <c r="AI13" s="7"/>
    </row>
    <row r="14" spans="2:35" x14ac:dyDescent="0.25">
      <c r="B14" s="4"/>
      <c r="C14" s="4"/>
      <c r="D14" s="5"/>
      <c r="E14" s="2"/>
      <c r="F14" s="2"/>
      <c r="G14" s="7"/>
      <c r="H14" s="2"/>
      <c r="I14" s="2"/>
      <c r="J14" s="2"/>
      <c r="K14" s="7"/>
      <c r="L14" s="2"/>
      <c r="M14" s="2"/>
      <c r="N14" s="2"/>
      <c r="O14" s="7"/>
      <c r="P14" s="2"/>
      <c r="Q14" s="2"/>
      <c r="R14" s="2"/>
      <c r="S14" s="7"/>
      <c r="T14" s="2"/>
      <c r="U14" s="2"/>
      <c r="V14" s="2"/>
      <c r="W14" s="7"/>
      <c r="X14" s="2"/>
      <c r="Y14" s="2"/>
      <c r="Z14" s="2"/>
      <c r="AA14" s="7"/>
      <c r="AB14" s="2"/>
      <c r="AC14" s="2"/>
      <c r="AD14" s="2"/>
      <c r="AE14" s="7"/>
      <c r="AF14" s="2"/>
      <c r="AG14" s="2"/>
      <c r="AH14" s="2"/>
      <c r="AI14" s="7"/>
    </row>
    <row r="15" spans="2:35" x14ac:dyDescent="0.25">
      <c r="B15" s="4"/>
      <c r="C15" s="4"/>
      <c r="D15" s="5"/>
      <c r="E15" s="2"/>
      <c r="F15" s="2"/>
      <c r="G15" s="7"/>
      <c r="H15" s="2"/>
      <c r="I15" s="2"/>
      <c r="J15" s="2"/>
      <c r="K15" s="7"/>
      <c r="L15" s="2"/>
      <c r="M15" s="2"/>
      <c r="N15" s="2"/>
      <c r="O15" s="7"/>
      <c r="P15" s="2"/>
      <c r="Q15" s="2"/>
      <c r="R15" s="2"/>
      <c r="S15" s="7"/>
      <c r="T15" s="2"/>
      <c r="U15" s="2"/>
      <c r="V15" s="2"/>
      <c r="W15" s="7"/>
      <c r="X15" s="2"/>
      <c r="Y15" s="2"/>
      <c r="Z15" s="2"/>
      <c r="AA15" s="7"/>
      <c r="AB15" s="2"/>
      <c r="AC15" s="2"/>
      <c r="AD15" s="2"/>
      <c r="AE15" s="7"/>
      <c r="AF15" s="2"/>
      <c r="AG15" s="2"/>
      <c r="AH15" s="2"/>
      <c r="AI15" s="7"/>
    </row>
    <row r="16" spans="2:35" x14ac:dyDescent="0.25">
      <c r="B16" s="4"/>
      <c r="C16" s="4"/>
      <c r="D16" s="5"/>
      <c r="E16" s="2"/>
      <c r="F16" s="2"/>
      <c r="G16" s="7"/>
      <c r="H16" s="2"/>
      <c r="I16" s="2"/>
      <c r="J16" s="2"/>
      <c r="K16" s="7"/>
      <c r="L16" s="2"/>
      <c r="M16" s="2"/>
      <c r="N16" s="2"/>
      <c r="O16" s="7"/>
      <c r="P16" s="2"/>
      <c r="Q16" s="2"/>
      <c r="R16" s="2"/>
      <c r="S16" s="7"/>
      <c r="T16" s="2"/>
      <c r="U16" s="2"/>
      <c r="V16" s="2"/>
      <c r="W16" s="7"/>
      <c r="X16" s="2"/>
      <c r="Y16" s="2"/>
      <c r="Z16" s="2"/>
      <c r="AA16" s="7"/>
      <c r="AB16" s="2"/>
      <c r="AC16" s="2"/>
      <c r="AD16" s="2"/>
      <c r="AE16" s="7"/>
      <c r="AF16" s="2"/>
      <c r="AG16" s="2"/>
      <c r="AH16" s="2"/>
      <c r="AI16" s="7"/>
    </row>
    <row r="17" spans="2:36" x14ac:dyDescent="0.25">
      <c r="B17" s="4"/>
      <c r="C17" s="4"/>
      <c r="D17" s="5"/>
      <c r="E17" s="2"/>
      <c r="F17" s="2"/>
      <c r="G17" s="7"/>
      <c r="H17" s="2"/>
      <c r="I17" s="2"/>
      <c r="J17" s="2"/>
      <c r="K17" s="7"/>
      <c r="L17" s="2"/>
      <c r="M17" s="2"/>
      <c r="N17" s="2"/>
      <c r="O17" s="7"/>
      <c r="P17" s="2"/>
      <c r="Q17" s="2"/>
      <c r="R17" s="2"/>
      <c r="S17" s="7"/>
      <c r="T17" s="2"/>
      <c r="U17" s="2"/>
      <c r="V17" s="2"/>
      <c r="W17" s="7"/>
      <c r="X17" s="2"/>
      <c r="Y17" s="2"/>
      <c r="Z17" s="2"/>
      <c r="AA17" s="7"/>
      <c r="AB17" s="2"/>
      <c r="AC17" s="2"/>
      <c r="AD17" s="2"/>
      <c r="AE17" s="7"/>
      <c r="AF17" s="2"/>
      <c r="AG17" s="2"/>
      <c r="AH17" s="2"/>
      <c r="AI17" s="7"/>
    </row>
    <row r="18" spans="2:36" x14ac:dyDescent="0.25">
      <c r="B18" s="4"/>
      <c r="C18" s="4"/>
      <c r="D18" s="5"/>
      <c r="E18" s="2"/>
      <c r="F18" s="2"/>
      <c r="G18" s="7"/>
      <c r="H18" s="2"/>
      <c r="I18" s="2"/>
      <c r="J18" s="2"/>
      <c r="K18" s="7"/>
      <c r="L18" s="2"/>
      <c r="M18" s="2"/>
      <c r="N18" s="2"/>
      <c r="O18" s="7"/>
      <c r="P18" s="2"/>
      <c r="Q18" s="2"/>
      <c r="R18" s="2"/>
      <c r="S18" s="7"/>
      <c r="T18" s="2"/>
      <c r="U18" s="2"/>
      <c r="V18" s="2"/>
      <c r="W18" s="7"/>
      <c r="X18" s="2"/>
      <c r="Y18" s="2"/>
      <c r="Z18" s="2"/>
      <c r="AA18" s="7"/>
      <c r="AB18" s="2"/>
      <c r="AC18" s="2"/>
      <c r="AD18" s="2"/>
      <c r="AE18" s="7"/>
      <c r="AF18" s="2"/>
      <c r="AG18" s="2"/>
      <c r="AH18" s="2"/>
      <c r="AI18" s="7"/>
    </row>
    <row r="19" spans="2:36" x14ac:dyDescent="0.25">
      <c r="B19" s="4"/>
      <c r="C19" s="4"/>
      <c r="D19" s="5"/>
      <c r="E19" s="2"/>
      <c r="F19" s="2"/>
      <c r="G19" s="7"/>
      <c r="H19" s="2"/>
      <c r="I19" s="2"/>
      <c r="J19" s="2"/>
      <c r="K19" s="7"/>
      <c r="L19" s="2"/>
      <c r="M19" s="2"/>
      <c r="N19" s="2"/>
      <c r="O19" s="7"/>
      <c r="P19" s="2"/>
      <c r="Q19" s="2"/>
      <c r="R19" s="2"/>
      <c r="S19" s="7"/>
      <c r="T19" s="2"/>
      <c r="U19" s="2"/>
      <c r="V19" s="2"/>
      <c r="W19" s="7"/>
      <c r="X19" s="2"/>
      <c r="Y19" s="2"/>
      <c r="Z19" s="2"/>
      <c r="AA19" s="7"/>
      <c r="AB19" s="2"/>
      <c r="AC19" s="2"/>
      <c r="AD19" s="2"/>
      <c r="AE19" s="7"/>
      <c r="AF19" s="2"/>
      <c r="AG19" s="2"/>
      <c r="AH19" s="2"/>
      <c r="AI19" s="7"/>
    </row>
    <row r="20" spans="2:36" x14ac:dyDescent="0.25">
      <c r="B20" s="4"/>
      <c r="C20" s="4"/>
      <c r="D20" s="5"/>
      <c r="E20" s="2"/>
      <c r="F20" s="2"/>
      <c r="G20" s="7"/>
      <c r="H20" s="2"/>
      <c r="I20" s="2"/>
      <c r="J20" s="2"/>
      <c r="K20" s="7"/>
      <c r="L20" s="2"/>
      <c r="M20" s="2"/>
      <c r="N20" s="2"/>
      <c r="O20" s="7"/>
      <c r="P20" s="2"/>
      <c r="Q20" s="2"/>
      <c r="R20" s="2"/>
      <c r="S20" s="7"/>
      <c r="T20" s="2"/>
      <c r="U20" s="2"/>
      <c r="V20" s="2"/>
      <c r="W20" s="7"/>
      <c r="X20" s="2"/>
      <c r="Y20" s="2"/>
      <c r="Z20" s="2"/>
      <c r="AA20" s="7"/>
      <c r="AB20" s="2"/>
      <c r="AC20" s="2"/>
      <c r="AD20" s="2"/>
      <c r="AE20" s="7"/>
      <c r="AF20" s="2"/>
      <c r="AG20" s="2"/>
      <c r="AH20" s="2"/>
      <c r="AI20" s="7"/>
    </row>
    <row r="21" spans="2:36" x14ac:dyDescent="0.25">
      <c r="B21" s="4" t="s">
        <v>15</v>
      </c>
      <c r="C21" s="4"/>
      <c r="D21" s="5"/>
      <c r="E21" s="2"/>
      <c r="F21" s="2">
        <f>SUM(F7:F20)</f>
        <v>277.8</v>
      </c>
      <c r="G21" s="7">
        <f>SUM(G7:G20)</f>
        <v>502.5</v>
      </c>
      <c r="H21" s="2"/>
      <c r="I21" s="2"/>
      <c r="J21" s="2"/>
      <c r="K21" s="7"/>
      <c r="L21" s="2"/>
      <c r="M21" s="2"/>
      <c r="N21" s="2"/>
      <c r="O21" s="7"/>
      <c r="P21" s="2"/>
      <c r="Q21" s="2"/>
      <c r="R21" s="2"/>
      <c r="S21" s="7"/>
      <c r="T21" s="2"/>
      <c r="U21" s="2"/>
      <c r="V21" s="2"/>
      <c r="W21" s="7"/>
      <c r="X21" s="2"/>
      <c r="Y21" s="2"/>
      <c r="Z21" s="2"/>
      <c r="AA21" s="7"/>
      <c r="AB21" s="2"/>
      <c r="AC21" s="2"/>
      <c r="AD21" s="2"/>
      <c r="AE21" s="7"/>
      <c r="AF21" s="2"/>
      <c r="AG21" s="2"/>
      <c r="AH21" s="2"/>
      <c r="AI21" s="7"/>
    </row>
    <row r="22" spans="2:36" x14ac:dyDescent="0.25">
      <c r="B22" s="4"/>
      <c r="C22" s="4"/>
      <c r="D22" s="5"/>
      <c r="E22" s="2"/>
      <c r="F22" s="2"/>
      <c r="G22" s="7"/>
      <c r="H22" s="2"/>
      <c r="I22" s="2"/>
      <c r="J22" s="2"/>
      <c r="K22" s="7"/>
      <c r="L22" s="2"/>
      <c r="M22" s="2"/>
      <c r="N22" s="2"/>
      <c r="O22" s="7"/>
      <c r="P22" s="2"/>
      <c r="Q22" s="2"/>
      <c r="R22" s="2"/>
      <c r="S22" s="7"/>
      <c r="T22" s="2"/>
      <c r="U22" s="2"/>
      <c r="V22" s="2"/>
      <c r="W22" s="7"/>
      <c r="X22" s="2"/>
      <c r="Y22" s="2"/>
      <c r="Z22" s="2"/>
      <c r="AA22" s="7"/>
      <c r="AB22" s="2"/>
      <c r="AC22" s="2"/>
      <c r="AD22" s="2"/>
      <c r="AE22" s="7"/>
      <c r="AF22" s="2"/>
      <c r="AG22" s="2"/>
      <c r="AH22" s="2"/>
      <c r="AI22" s="7"/>
    </row>
    <row r="23" spans="2:36" x14ac:dyDescent="0.25">
      <c r="B23" s="4" t="s">
        <v>13</v>
      </c>
      <c r="C23" s="4">
        <v>1.3</v>
      </c>
      <c r="D23" s="11">
        <f>D8+D9</f>
        <v>93</v>
      </c>
      <c r="E23" s="2">
        <f>E8+E10</f>
        <v>25</v>
      </c>
      <c r="F23" s="2">
        <f>$C23*D23</f>
        <v>120.9</v>
      </c>
      <c r="G23" s="7">
        <f>E23*$C23</f>
        <v>32.5</v>
      </c>
      <c r="H23" s="11"/>
      <c r="I23" s="2"/>
      <c r="J23" s="2"/>
      <c r="K23" s="7"/>
      <c r="L23" s="11"/>
      <c r="M23" s="2"/>
      <c r="N23" s="2"/>
      <c r="O23" s="7"/>
      <c r="P23" s="11"/>
      <c r="Q23" s="2"/>
      <c r="R23" s="2"/>
      <c r="S23" s="7"/>
      <c r="T23" s="11"/>
      <c r="U23" s="2"/>
      <c r="V23" s="2"/>
      <c r="W23" s="7"/>
      <c r="X23" s="11"/>
      <c r="Y23" s="2"/>
      <c r="Z23" s="2"/>
      <c r="AA23" s="7"/>
      <c r="AB23" s="11"/>
      <c r="AC23" s="2"/>
      <c r="AD23" s="2"/>
      <c r="AE23" s="7"/>
      <c r="AF23" s="11"/>
      <c r="AG23" s="2"/>
      <c r="AH23" s="2"/>
      <c r="AI23" s="7"/>
    </row>
    <row r="24" spans="2:36" x14ac:dyDescent="0.25">
      <c r="B24" s="4" t="s">
        <v>14</v>
      </c>
      <c r="C24" s="4">
        <v>4.7</v>
      </c>
      <c r="D24" s="11">
        <f>D7+D11+D12+D13+D14+D15+D16</f>
        <v>54</v>
      </c>
      <c r="E24" s="2">
        <f>E7+E11+E12+E13+E14+E15+E16</f>
        <v>99</v>
      </c>
      <c r="F24" s="2">
        <f>$C24*D24</f>
        <v>253.8</v>
      </c>
      <c r="G24" s="7">
        <f>E24*$C24</f>
        <v>465.3</v>
      </c>
      <c r="H24" s="11"/>
      <c r="I24" s="2"/>
      <c r="J24" s="2"/>
      <c r="K24" s="7"/>
      <c r="L24" s="11"/>
      <c r="M24" s="2"/>
      <c r="N24" s="2"/>
      <c r="O24" s="7"/>
      <c r="P24" s="11"/>
      <c r="Q24" s="2"/>
      <c r="R24" s="2"/>
      <c r="S24" s="7"/>
      <c r="T24" s="11"/>
      <c r="U24" s="2"/>
      <c r="V24" s="2"/>
      <c r="W24" s="7"/>
      <c r="X24" s="11"/>
      <c r="Y24" s="2"/>
      <c r="Z24" s="2"/>
      <c r="AA24" s="7"/>
      <c r="AB24" s="11"/>
      <c r="AC24" s="2"/>
      <c r="AD24" s="2"/>
      <c r="AE24" s="7"/>
      <c r="AF24" s="11"/>
      <c r="AG24" s="2"/>
      <c r="AH24" s="2"/>
      <c r="AI24" s="7"/>
    </row>
    <row r="26" spans="2:36" x14ac:dyDescent="0.25">
      <c r="AJ26" s="13" t="str">
        <f>D5</f>
        <v>0505 12bit</v>
      </c>
    </row>
    <row r="27" spans="2:36" x14ac:dyDescent="0.25">
      <c r="AJ27" s="13">
        <f>H5</f>
        <v>0</v>
      </c>
    </row>
    <row r="28" spans="2:36" x14ac:dyDescent="0.25">
      <c r="B28" t="s">
        <v>21</v>
      </c>
      <c r="E28">
        <f>MAX(E23,I23,M23,Q23,U23)</f>
        <v>25</v>
      </c>
      <c r="AJ28" s="13">
        <f>L5</f>
        <v>0</v>
      </c>
    </row>
    <row r="29" spans="2:36" x14ac:dyDescent="0.25">
      <c r="B29" t="s">
        <v>22</v>
      </c>
      <c r="E29">
        <f>MAX(E24,I24,M24,Q24,U24)</f>
        <v>99</v>
      </c>
      <c r="AJ29" s="13">
        <f>P5</f>
        <v>0</v>
      </c>
    </row>
    <row r="30" spans="2:36" x14ac:dyDescent="0.25">
      <c r="AJ30" s="13">
        <f>T5</f>
        <v>0</v>
      </c>
    </row>
    <row r="31" spans="2:36" x14ac:dyDescent="0.25">
      <c r="AJ31" s="13">
        <f>X5</f>
        <v>0</v>
      </c>
    </row>
    <row r="32" spans="2:36" x14ac:dyDescent="0.25">
      <c r="B32" t="s">
        <v>18</v>
      </c>
      <c r="C32">
        <v>1</v>
      </c>
      <c r="AJ32" s="13">
        <f>AB5</f>
        <v>0</v>
      </c>
    </row>
    <row r="33" spans="2:36" x14ac:dyDescent="0.25">
      <c r="C33" t="s">
        <v>10</v>
      </c>
      <c r="D33" t="s">
        <v>32</v>
      </c>
      <c r="AJ33" s="13">
        <f>AF5</f>
        <v>0</v>
      </c>
    </row>
    <row r="34" spans="2:36" x14ac:dyDescent="0.25">
      <c r="B34" t="s">
        <v>20</v>
      </c>
      <c r="C34">
        <v>1.3</v>
      </c>
      <c r="D34" s="10" t="e">
        <f>HLOOKUP('Total Power (Min)'!A33,D5:AI24,19,FALSE)</f>
        <v>#N/A</v>
      </c>
    </row>
    <row r="35" spans="2:36" x14ac:dyDescent="0.25">
      <c r="B35" t="s">
        <v>19</v>
      </c>
      <c r="C35">
        <v>4.7</v>
      </c>
      <c r="D35" s="10" t="e">
        <f>HLOOKUP('Total Power (Min)'!A33,D5:AI24,20,FALSE)</f>
        <v>#N/A</v>
      </c>
    </row>
  </sheetData>
  <mergeCells count="8">
    <mergeCell ref="D5:G5"/>
    <mergeCell ref="X5:AA5"/>
    <mergeCell ref="AB5:AE5"/>
    <mergeCell ref="AF5:AI5"/>
    <mergeCell ref="H5:K5"/>
    <mergeCell ref="L5:O5"/>
    <mergeCell ref="P5:S5"/>
    <mergeCell ref="T5:W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Power (Min)</vt:lpstr>
      <vt:lpstr>Total Power (Max)</vt:lpstr>
      <vt:lpstr>Sensor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2026-09-25T10:36:59Z</dcterms:modified>
</cp:coreProperties>
</file>